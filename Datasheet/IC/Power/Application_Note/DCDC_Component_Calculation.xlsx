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ibrary\Datasheet\IC\Power\Application_Note\"/>
    </mc:Choice>
  </mc:AlternateContent>
  <xr:revisionPtr revIDLastSave="0" documentId="13_ncr:1_{6E039806-11F6-4302-9040-B9A9C6BED9C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Total" sheetId="3" r:id="rId1"/>
    <sheet name="Forward Feedback" sheetId="4" r:id="rId2"/>
    <sheet name="Compensation" sheetId="5" r:id="rId3"/>
    <sheet name="RC Snubb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A11" i="4"/>
  <c r="B6" i="4"/>
  <c r="A6" i="4"/>
  <c r="F18" i="3"/>
  <c r="F14" i="3"/>
  <c r="F13" i="3"/>
  <c r="D16" i="3"/>
  <c r="D15" i="3"/>
  <c r="F15" i="3" s="1"/>
  <c r="C8" i="3"/>
  <c r="E8" i="3" s="1"/>
  <c r="B8" i="3"/>
  <c r="A8" i="3"/>
  <c r="B13" i="3" l="1"/>
  <c r="B15" i="3"/>
  <c r="B17" i="3" s="1"/>
  <c r="B18" i="3" s="1"/>
  <c r="D17" i="3"/>
  <c r="D8" i="3"/>
  <c r="B20" i="3" s="1"/>
</calcChain>
</file>

<file path=xl/sharedStrings.xml><?xml version="1.0" encoding="utf-8"?>
<sst xmlns="http://schemas.openxmlformats.org/spreadsheetml/2006/main" count="65" uniqueCount="64">
  <si>
    <t>Switch Freqency
Fsw(kHz)</t>
    <phoneticPr fontId="1" type="noConversion"/>
  </si>
  <si>
    <t>Reference Document</t>
    <phoneticPr fontId="1" type="noConversion"/>
  </si>
  <si>
    <t>Output Inductor Selection</t>
    <phoneticPr fontId="1" type="noConversion"/>
  </si>
  <si>
    <r>
      <t>Output Voltage
V</t>
    </r>
    <r>
      <rPr>
        <vertAlign val="subscript"/>
        <sz val="11"/>
        <color theme="1"/>
        <rFont val="Times New Roman"/>
        <family val="1"/>
      </rPr>
      <t>OUT</t>
    </r>
    <r>
      <rPr>
        <sz val="11"/>
        <color theme="1"/>
        <rFont val="Times New Roman"/>
        <family val="1"/>
      </rPr>
      <t>(V)</t>
    </r>
    <phoneticPr fontId="1" type="noConversion"/>
  </si>
  <si>
    <r>
      <t>Normal Input Voltage
V</t>
    </r>
    <r>
      <rPr>
        <vertAlign val="subscript"/>
        <sz val="11"/>
        <color theme="1"/>
        <rFont val="Times New Roman"/>
        <family val="1"/>
      </rPr>
      <t>IN</t>
    </r>
    <r>
      <rPr>
        <sz val="11"/>
        <color theme="1"/>
        <rFont val="Times New Roman"/>
        <family val="1"/>
      </rPr>
      <t>(V)</t>
    </r>
    <phoneticPr fontId="1" type="noConversion"/>
  </si>
  <si>
    <t>Component Selecton with synchronous DCDC Converter</t>
    <phoneticPr fontId="1" type="noConversion"/>
  </si>
  <si>
    <t>Design Requirement</t>
    <phoneticPr fontId="1" type="noConversion"/>
  </si>
  <si>
    <r>
      <t>Minimum Input Voltage 
V</t>
    </r>
    <r>
      <rPr>
        <vertAlign val="subscript"/>
        <sz val="11"/>
        <color theme="1"/>
        <rFont val="Times New Roman"/>
        <family val="1"/>
      </rPr>
      <t>INmin</t>
    </r>
    <r>
      <rPr>
        <sz val="11"/>
        <color theme="1"/>
        <rFont val="Times New Roman"/>
        <family val="1"/>
      </rPr>
      <t>(V)</t>
    </r>
    <phoneticPr fontId="1" type="noConversion"/>
  </si>
  <si>
    <r>
      <t>Maximum Input Voltage 
V</t>
    </r>
    <r>
      <rPr>
        <vertAlign val="subscript"/>
        <sz val="11"/>
        <color theme="1"/>
        <rFont val="Times New Roman"/>
        <family val="1"/>
      </rPr>
      <t>INmax</t>
    </r>
    <r>
      <rPr>
        <sz val="11"/>
        <color theme="1"/>
        <rFont val="Times New Roman"/>
        <family val="1"/>
      </rPr>
      <t>(V)</t>
    </r>
    <phoneticPr fontId="1" type="noConversion"/>
  </si>
  <si>
    <r>
      <t>Input Peak-Peak
Ripple Voltage
V</t>
    </r>
    <r>
      <rPr>
        <vertAlign val="subscript"/>
        <sz val="11"/>
        <color theme="1"/>
        <rFont val="Times New Roman"/>
        <family val="1"/>
      </rPr>
      <t>INPP</t>
    </r>
    <r>
      <rPr>
        <sz val="11"/>
        <color theme="1"/>
        <rFont val="Times New Roman"/>
        <family val="1"/>
      </rPr>
      <t>(mV)</t>
    </r>
    <phoneticPr fontId="1" type="noConversion"/>
  </si>
  <si>
    <t>Efficiency
η(%)</t>
    <phoneticPr fontId="1" type="noConversion"/>
  </si>
  <si>
    <t>Duty Cycle
DC(%)</t>
    <phoneticPr fontId="1" type="noConversion"/>
  </si>
  <si>
    <r>
      <t>Input Voltage Root Mean Square
V</t>
    </r>
    <r>
      <rPr>
        <vertAlign val="subscript"/>
        <sz val="11"/>
        <color theme="1"/>
        <rFont val="Times New Roman"/>
        <family val="1"/>
      </rPr>
      <t>INRMS</t>
    </r>
    <r>
      <rPr>
        <sz val="11"/>
        <color theme="1"/>
        <rFont val="Times New Roman"/>
        <family val="1"/>
      </rPr>
      <t>(mV)</t>
    </r>
    <phoneticPr fontId="1" type="noConversion"/>
  </si>
  <si>
    <r>
      <t>Output Voltage Root Mean Square
V</t>
    </r>
    <r>
      <rPr>
        <vertAlign val="subscript"/>
        <sz val="11"/>
        <color theme="1"/>
        <rFont val="Times New Roman"/>
        <family val="1"/>
      </rPr>
      <t>OUTRMS</t>
    </r>
    <r>
      <rPr>
        <sz val="11"/>
        <color theme="1"/>
        <rFont val="Times New Roman"/>
        <family val="1"/>
      </rPr>
      <t>(mV)</t>
    </r>
    <phoneticPr fontId="1" type="noConversion"/>
  </si>
  <si>
    <r>
      <t>Output Transient Current
I</t>
    </r>
    <r>
      <rPr>
        <vertAlign val="subscript"/>
        <sz val="11"/>
        <color theme="1"/>
        <rFont val="Times New Roman"/>
        <family val="1"/>
      </rPr>
      <t>OUTTRAN</t>
    </r>
    <r>
      <rPr>
        <sz val="11"/>
        <color theme="1"/>
        <rFont val="Times New Roman"/>
        <family val="1"/>
      </rPr>
      <t>(A)</t>
    </r>
    <phoneticPr fontId="1" type="noConversion"/>
  </si>
  <si>
    <r>
      <t>Input Transient Current
I</t>
    </r>
    <r>
      <rPr>
        <vertAlign val="subscript"/>
        <sz val="11"/>
        <color theme="1"/>
        <rFont val="Times New Roman"/>
        <family val="1"/>
      </rPr>
      <t>INTRAN</t>
    </r>
    <r>
      <rPr>
        <sz val="11"/>
        <color theme="1"/>
        <rFont val="Times New Roman"/>
        <family val="1"/>
      </rPr>
      <t>(A)</t>
    </r>
    <phoneticPr fontId="1" type="noConversion"/>
  </si>
  <si>
    <t>Input Capacitor Selection</t>
    <phoneticPr fontId="1" type="noConversion"/>
  </si>
  <si>
    <t>Output Capacitor Selection</t>
    <phoneticPr fontId="1" type="noConversion"/>
  </si>
  <si>
    <t>Others</t>
    <phoneticPr fontId="1" type="noConversion"/>
  </si>
  <si>
    <r>
      <t>Minimum Input Capacitor
C</t>
    </r>
    <r>
      <rPr>
        <vertAlign val="subscript"/>
        <sz val="12"/>
        <color theme="1"/>
        <rFont val="Times New Roman"/>
        <family val="1"/>
      </rPr>
      <t>INmin</t>
    </r>
    <r>
      <rPr>
        <sz val="12"/>
        <color theme="1"/>
        <rFont val="Times New Roman"/>
        <family val="1"/>
      </rPr>
      <t>(μF)</t>
    </r>
    <phoneticPr fontId="1" type="noConversion"/>
  </si>
  <si>
    <r>
      <t>Actual Input Capacitor
C</t>
    </r>
    <r>
      <rPr>
        <vertAlign val="subscript"/>
        <sz val="12"/>
        <color theme="1"/>
        <rFont val="Times New Roman"/>
        <family val="1"/>
      </rPr>
      <t>INmin</t>
    </r>
    <r>
      <rPr>
        <sz val="12"/>
        <color theme="1"/>
        <rFont val="Times New Roman"/>
        <family val="1"/>
      </rPr>
      <t>(μF)</t>
    </r>
    <phoneticPr fontId="1" type="noConversion"/>
  </si>
  <si>
    <r>
      <t>Actual Peak-Peak Ripple Voltage
V</t>
    </r>
    <r>
      <rPr>
        <vertAlign val="subscript"/>
        <sz val="12"/>
        <color theme="1"/>
        <rFont val="Times New Roman"/>
        <family val="1"/>
      </rPr>
      <t>INPP</t>
    </r>
    <r>
      <rPr>
        <sz val="12"/>
        <color theme="1"/>
        <rFont val="Times New Roman"/>
        <family val="1"/>
      </rPr>
      <t>(mV)</t>
    </r>
    <phoneticPr fontId="1" type="noConversion"/>
  </si>
  <si>
    <r>
      <t>RMS Current Through Capacitor
I</t>
    </r>
    <r>
      <rPr>
        <vertAlign val="subscript"/>
        <sz val="12"/>
        <color theme="1"/>
        <rFont val="Times New Roman"/>
        <family val="1"/>
      </rPr>
      <t>RMS</t>
    </r>
    <r>
      <rPr>
        <sz val="12"/>
        <color theme="1"/>
        <rFont val="Times New Roman"/>
        <family val="1"/>
      </rPr>
      <t>(A)</t>
    </r>
    <phoneticPr fontId="1" type="noConversion"/>
  </si>
  <si>
    <t>Power Dissipation
P(mW)</t>
    <phoneticPr fontId="1" type="noConversion"/>
  </si>
  <si>
    <r>
      <t>Output Inductor
L</t>
    </r>
    <r>
      <rPr>
        <vertAlign val="subscript"/>
        <sz val="12"/>
        <color theme="1"/>
        <rFont val="Times New Roman"/>
        <family val="1"/>
      </rPr>
      <t>OUT</t>
    </r>
    <r>
      <rPr>
        <sz val="12"/>
        <color theme="1"/>
        <rFont val="Times New Roman"/>
        <family val="1"/>
      </rPr>
      <t>(μH)</t>
    </r>
    <phoneticPr fontId="1" type="noConversion"/>
  </si>
  <si>
    <r>
      <t>Actual Output Inductor
L</t>
    </r>
    <r>
      <rPr>
        <vertAlign val="subscript"/>
        <sz val="12"/>
        <color theme="1"/>
        <rFont val="Times New Roman"/>
        <family val="1"/>
      </rPr>
      <t>OUT</t>
    </r>
    <r>
      <rPr>
        <sz val="12"/>
        <color theme="1"/>
        <rFont val="Times New Roman"/>
        <family val="1"/>
      </rPr>
      <t>(μH)</t>
    </r>
    <phoneticPr fontId="1" type="noConversion"/>
  </si>
  <si>
    <r>
      <t>Actual Ripple Inductor Current
I</t>
    </r>
    <r>
      <rPr>
        <vertAlign val="subscript"/>
        <sz val="12"/>
        <color theme="1"/>
        <rFont val="Times New Roman"/>
        <family val="1"/>
      </rPr>
      <t>ripple</t>
    </r>
    <r>
      <rPr>
        <sz val="12"/>
        <color theme="1"/>
        <rFont val="Times New Roman"/>
        <family val="1"/>
      </rPr>
      <t>(A)</t>
    </r>
    <phoneticPr fontId="1" type="noConversion"/>
  </si>
  <si>
    <r>
      <t>Actual RSM Inductor Current
I</t>
    </r>
    <r>
      <rPr>
        <vertAlign val="subscript"/>
        <sz val="12"/>
        <color theme="1"/>
        <rFont val="Times New Roman"/>
        <family val="1"/>
      </rPr>
      <t>LRMS</t>
    </r>
    <r>
      <rPr>
        <sz val="12"/>
        <color theme="1"/>
        <rFont val="Times New Roman"/>
        <family val="1"/>
      </rPr>
      <t>(A)</t>
    </r>
    <phoneticPr fontId="1" type="noConversion"/>
  </si>
  <si>
    <r>
      <t>Actual Peak-Peak Inductor Current
I</t>
    </r>
    <r>
      <rPr>
        <vertAlign val="subscript"/>
        <sz val="12"/>
        <color theme="1"/>
        <rFont val="Times New Roman"/>
        <family val="1"/>
      </rPr>
      <t>Lpeak</t>
    </r>
    <r>
      <rPr>
        <sz val="12"/>
        <color theme="1"/>
        <rFont val="Times New Roman"/>
        <family val="1"/>
      </rPr>
      <t>(A)</t>
    </r>
    <phoneticPr fontId="1" type="noConversion"/>
  </si>
  <si>
    <r>
      <t>Actual Output Capacitor
C</t>
    </r>
    <r>
      <rPr>
        <vertAlign val="subscript"/>
        <sz val="12"/>
        <color theme="1"/>
        <rFont val="Times New Roman"/>
        <family val="1"/>
      </rPr>
      <t>OUTmin</t>
    </r>
    <r>
      <rPr>
        <sz val="12"/>
        <color theme="1"/>
        <rFont val="Times New Roman"/>
        <family val="1"/>
      </rPr>
      <t>(μF)</t>
    </r>
    <phoneticPr fontId="1" type="noConversion"/>
  </si>
  <si>
    <r>
      <t>Actual Capacitors' ESR
R</t>
    </r>
    <r>
      <rPr>
        <vertAlign val="subscript"/>
        <sz val="12"/>
        <color theme="1"/>
        <rFont val="Times New Roman"/>
        <family val="1"/>
      </rPr>
      <t>ESR</t>
    </r>
    <r>
      <rPr>
        <sz val="12"/>
        <color theme="1"/>
        <rFont val="Times New Roman"/>
        <family val="1"/>
      </rPr>
      <t>(mΩ)</t>
    </r>
    <phoneticPr fontId="1" type="noConversion"/>
  </si>
  <si>
    <r>
      <t>Maximum Output Capacitors' ESR
R</t>
    </r>
    <r>
      <rPr>
        <vertAlign val="subscript"/>
        <sz val="12"/>
        <color theme="1"/>
        <rFont val="Times New Roman"/>
        <family val="1"/>
      </rPr>
      <t>ESR</t>
    </r>
    <r>
      <rPr>
        <sz val="12"/>
        <color theme="1"/>
        <rFont val="Times New Roman"/>
        <family val="1"/>
      </rPr>
      <t>(mΩ)</t>
    </r>
    <phoneticPr fontId="1" type="noConversion"/>
  </si>
  <si>
    <r>
      <t>Actual Output Capacitors' ESR
R</t>
    </r>
    <r>
      <rPr>
        <vertAlign val="subscript"/>
        <sz val="12"/>
        <color theme="1"/>
        <rFont val="Times New Roman"/>
        <family val="1"/>
      </rPr>
      <t>ESR</t>
    </r>
    <r>
      <rPr>
        <sz val="12"/>
        <color theme="1"/>
        <rFont val="Times New Roman"/>
        <family val="1"/>
      </rPr>
      <t>(mΩ)</t>
    </r>
    <phoneticPr fontId="1" type="noConversion"/>
  </si>
  <si>
    <r>
      <t>Input Bulk Capacitor
C</t>
    </r>
    <r>
      <rPr>
        <vertAlign val="subscript"/>
        <sz val="12"/>
        <color theme="1"/>
        <rFont val="Times New Roman"/>
        <family val="1"/>
      </rPr>
      <t>INmin</t>
    </r>
    <r>
      <rPr>
        <sz val="12"/>
        <color theme="1"/>
        <rFont val="Times New Roman"/>
        <family val="1"/>
      </rPr>
      <t>(μF)</t>
    </r>
    <phoneticPr fontId="1" type="noConversion"/>
  </si>
  <si>
    <r>
      <t>Input Inductor
L</t>
    </r>
    <r>
      <rPr>
        <vertAlign val="subscript"/>
        <sz val="12"/>
        <color theme="1"/>
        <rFont val="Times New Roman"/>
        <family val="1"/>
      </rPr>
      <t>IN</t>
    </r>
    <r>
      <rPr>
        <sz val="12"/>
        <color theme="1"/>
        <rFont val="Times New Roman"/>
        <family val="1"/>
      </rPr>
      <t>(nH)</t>
    </r>
    <phoneticPr fontId="1" type="noConversion"/>
  </si>
  <si>
    <r>
      <t>Input Voltage Deviation Percent
ΔV</t>
    </r>
    <r>
      <rPr>
        <vertAlign val="subscript"/>
        <sz val="11"/>
        <color theme="1"/>
        <rFont val="Times New Roman"/>
        <family val="1"/>
      </rPr>
      <t>IN</t>
    </r>
    <r>
      <rPr>
        <sz val="11"/>
        <color theme="1"/>
        <rFont val="Times New Roman"/>
        <family val="1"/>
      </rPr>
      <t>(%)</t>
    </r>
    <phoneticPr fontId="1" type="noConversion"/>
  </si>
  <si>
    <r>
      <t>Output Voltage Deviation Percent
ΔV</t>
    </r>
    <r>
      <rPr>
        <vertAlign val="subscript"/>
        <sz val="11"/>
        <color theme="1"/>
        <rFont val="Times New Roman"/>
        <family val="1"/>
      </rPr>
      <t>OUT</t>
    </r>
    <r>
      <rPr>
        <sz val="11"/>
        <color theme="1"/>
        <rFont val="Times New Roman"/>
        <family val="1"/>
      </rPr>
      <t>(%)</t>
    </r>
    <phoneticPr fontId="1" type="noConversion"/>
  </si>
  <si>
    <r>
      <t>Input Current
I</t>
    </r>
    <r>
      <rPr>
        <vertAlign val="subscript"/>
        <sz val="11"/>
        <color theme="1"/>
        <rFont val="Times New Roman"/>
        <family val="1"/>
      </rPr>
      <t>IN</t>
    </r>
    <r>
      <rPr>
        <sz val="11"/>
        <color theme="1"/>
        <rFont val="Times New Roman"/>
        <family val="1"/>
      </rPr>
      <t>(A)</t>
    </r>
    <phoneticPr fontId="1" type="noConversion"/>
  </si>
  <si>
    <t>Calculation</t>
    <phoneticPr fontId="1" type="noConversion"/>
  </si>
  <si>
    <t>Recommend</t>
    <phoneticPr fontId="1" type="noConversion"/>
  </si>
  <si>
    <t>Manually Input</t>
    <phoneticPr fontId="1" type="noConversion"/>
  </si>
  <si>
    <t>Input_and_Output_Capacitor_Considerations_in_a_Synchronous_Buck_Converter.pdf——TI</t>
    <phoneticPr fontId="1" type="noConversion"/>
  </si>
  <si>
    <t>Input_and_Output_Capacitor_Selection.pdf——TI</t>
    <phoneticPr fontId="1" type="noConversion"/>
  </si>
  <si>
    <t>TPS54620_Datasheet——TI</t>
    <phoneticPr fontId="1" type="noConversion"/>
  </si>
  <si>
    <t>Component Selection</t>
    <phoneticPr fontId="1" type="noConversion"/>
  </si>
  <si>
    <r>
      <t>Output Capacitor
(Ripple)
C</t>
    </r>
    <r>
      <rPr>
        <vertAlign val="subscript"/>
        <sz val="12"/>
        <color theme="1"/>
        <rFont val="Times New Roman"/>
        <family val="1"/>
      </rPr>
      <t>OUTmin</t>
    </r>
    <r>
      <rPr>
        <sz val="12"/>
        <color theme="1"/>
        <rFont val="Times New Roman"/>
        <family val="1"/>
      </rPr>
      <t>(μF)</t>
    </r>
    <phoneticPr fontId="1" type="noConversion"/>
  </si>
  <si>
    <r>
      <t>Output Capacitor
(Transient)
C</t>
    </r>
    <r>
      <rPr>
        <vertAlign val="subscript"/>
        <sz val="12"/>
        <color theme="1"/>
        <rFont val="Times New Roman"/>
        <family val="1"/>
      </rPr>
      <t>OUTmin</t>
    </r>
    <r>
      <rPr>
        <sz val="12"/>
        <color theme="1"/>
        <rFont val="Times New Roman"/>
        <family val="1"/>
      </rPr>
      <t>(μF)</t>
    </r>
    <phoneticPr fontId="1" type="noConversion"/>
  </si>
  <si>
    <r>
      <t>Output Ripple Current/Maximum Output Current
K</t>
    </r>
    <r>
      <rPr>
        <vertAlign val="subscript"/>
        <sz val="11"/>
        <color theme="1"/>
        <rFont val="Times New Roman"/>
        <family val="1"/>
      </rPr>
      <t>IND</t>
    </r>
    <r>
      <rPr>
        <sz val="11"/>
        <color theme="1"/>
        <rFont val="Times New Roman"/>
        <family val="1"/>
      </rPr>
      <t>(0.1~0.4)</t>
    </r>
    <phoneticPr fontId="1" type="noConversion"/>
  </si>
  <si>
    <t>Cff</t>
    <phoneticPr fontId="1" type="noConversion"/>
  </si>
  <si>
    <t>Rt</t>
    <phoneticPr fontId="1" type="noConversion"/>
  </si>
  <si>
    <t>Rb</t>
    <phoneticPr fontId="1" type="noConversion"/>
  </si>
  <si>
    <t>Fz(Hz)</t>
    <phoneticPr fontId="1" type="noConversion"/>
  </si>
  <si>
    <t>Fp(Hz)</t>
    <phoneticPr fontId="1" type="noConversion"/>
  </si>
  <si>
    <t>Cff_op</t>
    <phoneticPr fontId="1" type="noConversion"/>
  </si>
  <si>
    <t>Fno_Cff(kHz)</t>
    <phoneticPr fontId="1" type="noConversion"/>
  </si>
  <si>
    <r>
      <t>Output Peak-Peak
Ripple Voltage
V</t>
    </r>
    <r>
      <rPr>
        <vertAlign val="subscript"/>
        <sz val="11"/>
        <color theme="1"/>
        <rFont val="Times New Roman"/>
        <family val="1"/>
      </rPr>
      <t>OUTPP</t>
    </r>
    <r>
      <rPr>
        <sz val="11"/>
        <color theme="1"/>
        <rFont val="Times New Roman"/>
        <family val="1"/>
      </rPr>
      <t>(mV)</t>
    </r>
    <phoneticPr fontId="1" type="noConversion"/>
  </si>
  <si>
    <t>RC SUNBBER CALCULATON</t>
    <phoneticPr fontId="1" type="noConversion"/>
  </si>
  <si>
    <t>FORWARD CAPACITOR CALCULATION</t>
    <phoneticPr fontId="1" type="noConversion"/>
  </si>
  <si>
    <t>Ringing Frequency
fp</t>
    <phoneticPr fontId="1" type="noConversion"/>
  </si>
  <si>
    <t>Parasitic Inductance</t>
    <phoneticPr fontId="1" type="noConversion"/>
  </si>
  <si>
    <t>Parasitic Capacitance</t>
    <phoneticPr fontId="1" type="noConversion"/>
  </si>
  <si>
    <t>Sunbber resistor</t>
    <phoneticPr fontId="1" type="noConversion"/>
  </si>
  <si>
    <t>Power Loss</t>
    <phoneticPr fontId="1" type="noConversion"/>
  </si>
  <si>
    <r>
      <t>Maximum Output Current
I</t>
    </r>
    <r>
      <rPr>
        <vertAlign val="subscript"/>
        <sz val="11"/>
        <color theme="1"/>
        <rFont val="Times New Roman"/>
        <family val="1"/>
      </rPr>
      <t>OUTmax</t>
    </r>
    <r>
      <rPr>
        <sz val="11"/>
        <color theme="1"/>
        <rFont val="Times New Roman"/>
        <family val="1"/>
      </rPr>
      <t>(A)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</si>
</sst>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_);[Red]\(0.00000\)"/>
    <numFmt numFmtId="165" formatCode="0.0000_ "/>
  </numFmts>
  <fonts count="1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36"/>
      <color theme="1"/>
      <name val="Cambria"/>
      <family val="1"/>
    </font>
    <font>
      <vertAlign val="subscript"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1"/>
      <color theme="1"/>
      <name val="Calibria"/>
    </font>
    <font>
      <sz val="11"/>
      <color theme="1"/>
      <name val="Calibria"/>
      <family val="2"/>
    </font>
    <font>
      <sz val="16"/>
      <color theme="1"/>
      <name val="Cambria"/>
      <family val="1"/>
    </font>
    <font>
      <sz val="11"/>
      <color rgb="FF002060"/>
      <name val="Calibri"/>
      <family val="3"/>
      <charset val="134"/>
      <scheme val="minor"/>
    </font>
    <font>
      <b/>
      <sz val="24"/>
      <color theme="1"/>
      <name val="Cambria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165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5" fontId="0" fillId="3" borderId="11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0" fillId="2" borderId="13" xfId="0" applyFill="1" applyBorder="1"/>
    <xf numFmtId="0" fontId="10" fillId="0" borderId="0" xfId="0" applyFont="1" applyAlignment="1">
      <alignment vertical="center"/>
    </xf>
    <xf numFmtId="0" fontId="0" fillId="0" borderId="14" xfId="0" applyBorder="1"/>
    <xf numFmtId="0" fontId="0" fillId="3" borderId="13" xfId="0" applyFill="1" applyBorder="1"/>
    <xf numFmtId="0" fontId="11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3" fillId="0" borderId="13" xfId="1" applyFont="1" applyBorder="1" applyAlignment="1">
      <alignment horizontal="left" vertical="center" wrapText="1"/>
    </xf>
    <xf numFmtId="0" fontId="13" fillId="0" borderId="0" xfId="1" applyFont="1" applyBorder="1" applyAlignment="1">
      <alignment horizontal="left" vertical="center" wrapText="1"/>
    </xf>
    <xf numFmtId="0" fontId="13" fillId="0" borderId="14" xfId="1" applyFont="1" applyBorder="1" applyAlignment="1">
      <alignment horizontal="left" vertical="center" wrapText="1"/>
    </xf>
    <xf numFmtId="0" fontId="13" fillId="0" borderId="13" xfId="1" applyFont="1" applyBorder="1" applyAlignment="1">
      <alignment horizontal="left" vertical="center"/>
    </xf>
    <xf numFmtId="0" fontId="13" fillId="0" borderId="0" xfId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D3B8-DBEC-41C1-99E5-9919B17DC27E}">
  <dimension ref="A1:H37"/>
  <sheetViews>
    <sheetView showGridLines="0" tabSelected="1" topLeftCell="A3" zoomScaleNormal="100" workbookViewId="0">
      <selection activeCell="M7" sqref="M7"/>
    </sheetView>
  </sheetViews>
  <sheetFormatPr defaultRowHeight="14.6"/>
  <cols>
    <col min="1" max="8" width="15.84375" customWidth="1"/>
  </cols>
  <sheetData>
    <row r="1" spans="1:8" ht="100.4" customHeight="1" thickTop="1">
      <c r="A1" s="60" t="s">
        <v>5</v>
      </c>
      <c r="B1" s="61"/>
      <c r="C1" s="61"/>
      <c r="D1" s="61"/>
      <c r="E1" s="61"/>
      <c r="F1" s="61"/>
      <c r="G1" s="61"/>
      <c r="H1" s="62"/>
    </row>
    <row r="2" spans="1:8" ht="45" customHeight="1" thickBot="1">
      <c r="A2" s="63" t="s">
        <v>6</v>
      </c>
      <c r="B2" s="64"/>
      <c r="C2" s="64"/>
      <c r="D2" s="64"/>
      <c r="E2" s="64"/>
      <c r="F2" s="64"/>
      <c r="G2" s="64"/>
      <c r="H2" s="65"/>
    </row>
    <row r="3" spans="1:8" s="1" customFormat="1" ht="65.150000000000006" customHeight="1">
      <c r="A3" s="19" t="s">
        <v>8</v>
      </c>
      <c r="B3" s="9" t="s">
        <v>4</v>
      </c>
      <c r="C3" s="9" t="s">
        <v>7</v>
      </c>
      <c r="D3" s="9" t="s">
        <v>9</v>
      </c>
      <c r="E3" s="9" t="s">
        <v>3</v>
      </c>
      <c r="F3" s="9" t="s">
        <v>36</v>
      </c>
      <c r="G3" s="9" t="s">
        <v>55</v>
      </c>
      <c r="H3" s="20" t="s">
        <v>63</v>
      </c>
    </row>
    <row r="4" spans="1:8" s="7" customFormat="1" ht="22.4" customHeight="1">
      <c r="A4" s="21">
        <v>19.05</v>
      </c>
      <c r="B4" s="8">
        <v>12</v>
      </c>
      <c r="C4" s="8">
        <v>18.95</v>
      </c>
      <c r="D4" s="8">
        <v>120</v>
      </c>
      <c r="E4" s="8">
        <v>0.85</v>
      </c>
      <c r="F4" s="8">
        <v>4</v>
      </c>
      <c r="G4" s="8">
        <v>15</v>
      </c>
      <c r="H4" s="22">
        <v>25</v>
      </c>
    </row>
    <row r="5" spans="1:8" ht="65.150000000000006" customHeight="1">
      <c r="A5" s="23" t="s">
        <v>14</v>
      </c>
      <c r="B5" s="4" t="s">
        <v>0</v>
      </c>
      <c r="C5" s="4" t="s">
        <v>10</v>
      </c>
      <c r="D5" s="4" t="s">
        <v>47</v>
      </c>
      <c r="E5" s="9" t="s">
        <v>35</v>
      </c>
      <c r="F5" s="3"/>
      <c r="G5" s="3"/>
      <c r="H5" s="24"/>
    </row>
    <row r="6" spans="1:8" ht="22.4" customHeight="1">
      <c r="A6" s="21">
        <v>18</v>
      </c>
      <c r="B6" s="8">
        <v>725</v>
      </c>
      <c r="C6" s="8">
        <v>85</v>
      </c>
      <c r="D6" s="8">
        <v>0.3</v>
      </c>
      <c r="E6" s="8">
        <v>3</v>
      </c>
      <c r="F6" s="3"/>
      <c r="G6" s="3"/>
      <c r="H6" s="26"/>
    </row>
    <row r="7" spans="1:8" ht="65.150000000000006" customHeight="1">
      <c r="A7" s="23" t="s">
        <v>12</v>
      </c>
      <c r="B7" s="4" t="s">
        <v>13</v>
      </c>
      <c r="C7" s="4" t="s">
        <v>11</v>
      </c>
      <c r="D7" s="4" t="s">
        <v>15</v>
      </c>
      <c r="E7" s="4" t="s">
        <v>37</v>
      </c>
      <c r="F7" s="4"/>
      <c r="G7" s="4"/>
      <c r="H7" s="24"/>
    </row>
    <row r="8" spans="1:8" ht="22.4" customHeight="1">
      <c r="A8" s="25">
        <f>D4/2/SQRT(3)</f>
        <v>34.641016151377549</v>
      </c>
      <c r="B8" s="13">
        <f>G4/2/SQRT(3)</f>
        <v>4.3301270189221936</v>
      </c>
      <c r="C8" s="13">
        <f>E4/B4/C6*100*100</f>
        <v>8.3333333333333321</v>
      </c>
      <c r="D8" s="13">
        <f>A6*C8/100</f>
        <v>1.4999999999999998</v>
      </c>
      <c r="E8" s="13">
        <f>H4*C8*0.01</f>
        <v>2.083333333333333</v>
      </c>
      <c r="F8" s="15"/>
      <c r="G8" s="15"/>
      <c r="H8" s="26"/>
    </row>
    <row r="9" spans="1:8" ht="65.150000000000006" customHeight="1">
      <c r="A9" s="23"/>
      <c r="B9" s="4"/>
      <c r="C9" s="4"/>
      <c r="D9" s="4"/>
      <c r="E9" s="4"/>
      <c r="F9" s="4"/>
      <c r="G9" s="4"/>
      <c r="H9" s="24"/>
    </row>
    <row r="10" spans="1:8" s="1" customFormat="1" ht="22.4" customHeight="1" thickBot="1">
      <c r="A10" s="38"/>
      <c r="B10" s="39"/>
      <c r="C10" s="39"/>
      <c r="D10" s="39"/>
      <c r="E10" s="39"/>
      <c r="F10" s="39"/>
      <c r="G10" s="39"/>
      <c r="H10" s="40"/>
    </row>
    <row r="11" spans="1:8" ht="45" customHeight="1" thickTop="1" thickBot="1">
      <c r="A11" s="63" t="s">
        <v>44</v>
      </c>
      <c r="B11" s="64"/>
      <c r="C11" s="64"/>
      <c r="D11" s="64"/>
      <c r="E11" s="64"/>
      <c r="F11" s="64"/>
      <c r="G11" s="64"/>
      <c r="H11" s="65"/>
    </row>
    <row r="12" spans="1:8" s="1" customFormat="1" ht="40.4" customHeight="1" thickTop="1">
      <c r="A12" s="66" t="s">
        <v>16</v>
      </c>
      <c r="B12" s="67"/>
      <c r="C12" s="67" t="s">
        <v>2</v>
      </c>
      <c r="D12" s="67"/>
      <c r="E12" s="67" t="s">
        <v>17</v>
      </c>
      <c r="F12" s="67"/>
      <c r="G12" s="67" t="s">
        <v>18</v>
      </c>
      <c r="H12" s="68"/>
    </row>
    <row r="13" spans="1:8" s="7" customFormat="1" ht="80.150000000000006" customHeight="1">
      <c r="A13" s="27" t="s">
        <v>19</v>
      </c>
      <c r="B13" s="13">
        <f>H4*(C8/100)*(1-C8/100)*1000/B6/D4/0.001</f>
        <v>21.950830140485312</v>
      </c>
      <c r="C13" s="18" t="s">
        <v>24</v>
      </c>
      <c r="D13" s="13">
        <f>(B4-E4)/H4/D6*E4/A4/B6*1000</f>
        <v>9.1495459619271718E-2</v>
      </c>
      <c r="E13" s="18" t="s">
        <v>46</v>
      </c>
      <c r="F13" s="13">
        <f>2*A6/B6/1000/E4/F4/0.01*1000000</f>
        <v>1460.4462474645031</v>
      </c>
      <c r="G13" s="2"/>
      <c r="H13" s="28"/>
    </row>
    <row r="14" spans="1:8" s="7" customFormat="1" ht="80.150000000000006" customHeight="1">
      <c r="A14" s="29" t="s">
        <v>20</v>
      </c>
      <c r="B14" s="17">
        <v>66</v>
      </c>
      <c r="C14" s="16" t="s">
        <v>25</v>
      </c>
      <c r="D14" s="17">
        <v>0.1</v>
      </c>
      <c r="E14" s="18" t="s">
        <v>45</v>
      </c>
      <c r="F14" s="13">
        <f>1/8/B6/1000*A6/G4/0.001*1000000</f>
        <v>206.89655172413791</v>
      </c>
      <c r="G14" s="2"/>
      <c r="H14" s="28"/>
    </row>
    <row r="15" spans="1:8" s="7" customFormat="1" ht="80.150000000000006" customHeight="1">
      <c r="A15" s="29" t="s">
        <v>21</v>
      </c>
      <c r="B15" s="13">
        <f>H4*(C8/100)*(1-C8/100)*1000/B6/B14*1000</f>
        <v>39.910600255427838</v>
      </c>
      <c r="C15" s="16" t="s">
        <v>26</v>
      </c>
      <c r="D15" s="13">
        <f>(A4-E4)/D14/0.000001*E4/A4/B6/1000</f>
        <v>11.201013666395147</v>
      </c>
      <c r="E15" s="16" t="s">
        <v>31</v>
      </c>
      <c r="F15" s="13">
        <f>G4/D15</f>
        <v>1.33916451195863</v>
      </c>
      <c r="G15" s="2"/>
      <c r="H15" s="28"/>
    </row>
    <row r="16" spans="1:8" s="7" customFormat="1" ht="80.150000000000006" customHeight="1">
      <c r="A16" s="29" t="s">
        <v>30</v>
      </c>
      <c r="B16" s="17">
        <v>3</v>
      </c>
      <c r="C16" s="16" t="s">
        <v>27</v>
      </c>
      <c r="D16" s="13">
        <f>SQRT(H4*H4+1/12*POWER(E4*(A4-E4)/A4/D14/0.000001/B6/1000,2))</f>
        <v>25.208237256822041</v>
      </c>
      <c r="E16" s="16" t="s">
        <v>29</v>
      </c>
      <c r="F16" s="17">
        <v>660</v>
      </c>
      <c r="G16" s="2"/>
      <c r="H16" s="28"/>
    </row>
    <row r="17" spans="1:8" s="7" customFormat="1" ht="80.150000000000006" customHeight="1">
      <c r="A17" s="29" t="s">
        <v>22</v>
      </c>
      <c r="B17" s="13">
        <f>B15/2/SQRT(3)/B16</f>
        <v>3.8403993001651351</v>
      </c>
      <c r="C17" s="16" t="s">
        <v>28</v>
      </c>
      <c r="D17" s="13">
        <f>H4+D15/2</f>
        <v>30.600506833197574</v>
      </c>
      <c r="E17" s="16" t="s">
        <v>32</v>
      </c>
      <c r="F17" s="17">
        <v>3</v>
      </c>
      <c r="G17" s="2"/>
      <c r="H17" s="28"/>
    </row>
    <row r="18" spans="1:8" s="7" customFormat="1" ht="80.150000000000006" customHeight="1">
      <c r="A18" s="29" t="s">
        <v>23</v>
      </c>
      <c r="B18" s="13">
        <f>B17*B17*B16</f>
        <v>44.246000354126579</v>
      </c>
      <c r="C18" s="2"/>
      <c r="D18" s="2"/>
      <c r="E18" s="16" t="s">
        <v>22</v>
      </c>
      <c r="F18" s="13">
        <f>E4*(A4-E4)/SQRT(12)/A4/D14/0.000001/500/1000</f>
        <v>4.688508485230189</v>
      </c>
      <c r="G18" s="2"/>
      <c r="H18" s="28"/>
    </row>
    <row r="19" spans="1:8" s="7" customFormat="1" ht="80.150000000000006" customHeight="1">
      <c r="A19" s="29" t="s">
        <v>34</v>
      </c>
      <c r="B19" s="17">
        <v>50</v>
      </c>
      <c r="C19" s="11"/>
      <c r="D19" s="11"/>
      <c r="E19" s="5"/>
      <c r="F19" s="5"/>
      <c r="G19" s="5"/>
      <c r="H19" s="28"/>
    </row>
    <row r="20" spans="1:8" s="7" customFormat="1" ht="80.150000000000006" customHeight="1">
      <c r="A20" s="27" t="s">
        <v>33</v>
      </c>
      <c r="B20" s="13">
        <f>1.21*D8*D8*B19*0.000000001/POWER(B4*E6*0.01,2)*1000000</f>
        <v>1.0503472222222221</v>
      </c>
      <c r="C20" s="12"/>
      <c r="D20" s="12"/>
      <c r="E20" s="10"/>
      <c r="F20" s="14"/>
      <c r="G20" s="2"/>
      <c r="H20" s="28"/>
    </row>
    <row r="21" spans="1:8" s="7" customFormat="1" ht="80.150000000000006" customHeight="1" thickBot="1">
      <c r="A21" s="41"/>
      <c r="B21" s="42"/>
      <c r="C21" s="42"/>
      <c r="D21" s="42"/>
      <c r="E21" s="43"/>
      <c r="F21" s="44"/>
      <c r="G21" s="43"/>
      <c r="H21" s="45"/>
    </row>
    <row r="22" spans="1:8" ht="22.4" customHeight="1" thickTop="1" thickBot="1">
      <c r="A22" s="57" t="s">
        <v>1</v>
      </c>
      <c r="B22" s="58"/>
      <c r="C22" s="58"/>
      <c r="D22" s="58"/>
      <c r="E22" s="58"/>
      <c r="F22" s="58"/>
      <c r="G22" s="58"/>
      <c r="H22" s="59"/>
    </row>
    <row r="23" spans="1:8" ht="22.4" customHeight="1">
      <c r="A23" s="51" t="s">
        <v>41</v>
      </c>
      <c r="B23" s="52"/>
      <c r="C23" s="52"/>
      <c r="D23" s="52"/>
      <c r="E23" s="52"/>
      <c r="F23" s="52"/>
      <c r="G23" s="52"/>
      <c r="H23" s="53"/>
    </row>
    <row r="24" spans="1:8" ht="22.4" customHeight="1">
      <c r="A24" s="54" t="s">
        <v>42</v>
      </c>
      <c r="B24" s="55"/>
      <c r="C24" s="55"/>
      <c r="D24" s="55"/>
      <c r="E24" s="55"/>
      <c r="F24" s="55"/>
      <c r="G24" s="55"/>
      <c r="H24" s="56"/>
    </row>
    <row r="25" spans="1:8" ht="22.4" customHeight="1">
      <c r="A25" s="54" t="s">
        <v>43</v>
      </c>
      <c r="B25" s="55"/>
      <c r="C25" s="55"/>
      <c r="D25" s="55"/>
      <c r="E25" s="55"/>
      <c r="F25" s="55"/>
      <c r="G25" s="55"/>
      <c r="H25" s="56"/>
    </row>
    <row r="26" spans="1:8" ht="22.4" customHeight="1">
      <c r="A26" s="30"/>
      <c r="B26" s="31" t="s">
        <v>40</v>
      </c>
      <c r="H26" s="32"/>
    </row>
    <row r="27" spans="1:8" ht="22.4" customHeight="1">
      <c r="A27" s="33"/>
      <c r="B27" s="34" t="s">
        <v>38</v>
      </c>
      <c r="H27" s="32"/>
    </row>
    <row r="28" spans="1:8" ht="22.4" customHeight="1" thickBot="1">
      <c r="A28" s="46"/>
      <c r="B28" s="35" t="s">
        <v>39</v>
      </c>
      <c r="C28" s="36"/>
      <c r="D28" s="36"/>
      <c r="E28" s="36"/>
      <c r="F28" s="36"/>
      <c r="G28" s="36"/>
      <c r="H28" s="37"/>
    </row>
    <row r="29" spans="1:8" ht="22.4" customHeight="1" thickTop="1">
      <c r="A29" s="6"/>
      <c r="B29" s="6"/>
      <c r="C29" s="6"/>
      <c r="D29" s="6"/>
      <c r="E29" s="6"/>
      <c r="F29" s="6"/>
      <c r="G29" s="6"/>
      <c r="H29" s="6"/>
    </row>
    <row r="30" spans="1:8" ht="22.4" customHeight="1">
      <c r="A30" s="6"/>
      <c r="B30" s="6"/>
      <c r="C30" s="6"/>
      <c r="D30" s="6"/>
      <c r="E30" s="6"/>
      <c r="F30" s="6"/>
      <c r="G30" s="6"/>
      <c r="H30" s="6"/>
    </row>
    <row r="31" spans="1:8" ht="22.4" customHeight="1">
      <c r="A31" s="1"/>
      <c r="B31" s="1"/>
      <c r="C31" s="1"/>
      <c r="D31" s="1"/>
      <c r="E31" s="1"/>
      <c r="F31" s="1"/>
      <c r="G31" s="1"/>
      <c r="H31" s="1"/>
    </row>
    <row r="32" spans="1:8" ht="22.4" customHeight="1">
      <c r="A32" s="1"/>
      <c r="B32" s="1"/>
      <c r="C32" s="1"/>
      <c r="D32" s="1"/>
      <c r="E32" s="1"/>
      <c r="F32" s="1"/>
      <c r="G32" s="1"/>
      <c r="H32" s="1"/>
    </row>
    <row r="33" spans="1:8" ht="22.4" customHeight="1">
      <c r="A33" s="1"/>
      <c r="B33" s="1"/>
      <c r="C33" s="1"/>
      <c r="D33" s="1"/>
      <c r="E33" s="1"/>
      <c r="F33" s="1"/>
      <c r="G33" s="1"/>
      <c r="H33" s="1"/>
    </row>
    <row r="34" spans="1:8" ht="22.4" customHeight="1">
      <c r="A34" s="1"/>
      <c r="B34" s="1"/>
      <c r="C34" s="1"/>
      <c r="D34" s="1"/>
      <c r="E34" s="1"/>
      <c r="F34" s="1"/>
      <c r="G34" s="1"/>
      <c r="H34" s="1"/>
    </row>
    <row r="35" spans="1:8" ht="22.4" customHeight="1">
      <c r="A35" s="1"/>
      <c r="B35" s="1"/>
      <c r="C35" s="1"/>
      <c r="D35" s="1"/>
      <c r="E35" s="1"/>
      <c r="F35" s="1"/>
      <c r="G35" s="1"/>
      <c r="H35" s="1"/>
    </row>
    <row r="36" spans="1:8" ht="22.4" customHeight="1">
      <c r="A36" s="1"/>
      <c r="B36" s="1"/>
      <c r="C36" s="1"/>
      <c r="D36" s="1"/>
      <c r="E36" s="1"/>
      <c r="F36" s="1"/>
      <c r="G36" s="1"/>
      <c r="H36" s="1"/>
    </row>
    <row r="37" spans="1:8" ht="22.4" customHeight="1">
      <c r="A37" s="1"/>
      <c r="B37" s="1"/>
      <c r="C37" s="1"/>
      <c r="D37" s="1"/>
      <c r="E37" s="1"/>
      <c r="F37" s="1"/>
      <c r="G37" s="1"/>
      <c r="H37" s="1"/>
    </row>
  </sheetData>
  <sheetProtection formatCells="0" formatColumns="0" formatRows="0" insertColumns="0" insertRows="0" insertHyperlinks="0" deleteColumns="0" deleteRows="0" sort="0"/>
  <protectedRanges>
    <protectedRange algorithmName="SHA-512" hashValue="0Q1REbw7iEGFg1Mgg7QdsKq2fHtxd3J7mRs0eHIRgmiW/zP34O1BitvndVoHJ1ewYTUjtOBRrUNLT7CEkSUCmA==" saltValue="FT0+iN+U1C+A0yL4EILEig==" spinCount="100000" sqref="A4:H4 A6:E6 B14 B16 B19 D14 F16 F17" name="Available Edit Area"/>
  </protectedRanges>
  <mergeCells count="11">
    <mergeCell ref="A23:H23"/>
    <mergeCell ref="A24:H24"/>
    <mergeCell ref="A22:H22"/>
    <mergeCell ref="A25:H25"/>
    <mergeCell ref="A1:H1"/>
    <mergeCell ref="A2:H2"/>
    <mergeCell ref="A12:B12"/>
    <mergeCell ref="C12:D12"/>
    <mergeCell ref="E12:F12"/>
    <mergeCell ref="G12:H12"/>
    <mergeCell ref="A11:H11"/>
  </mergeCells>
  <phoneticPr fontId="1" type="noConversion"/>
  <dataValidations count="3">
    <dataValidation type="custom" imeMode="off" allowBlank="1" showInputMessage="1" showErrorMessage="1" error="NULL" prompt="Number Only" sqref="H4" xr:uid="{A5B5FCD1-CE50-4092-BDFA-07FBD2286606}">
      <formula1>ISNUMBER(G4)</formula1>
    </dataValidation>
    <dataValidation type="custom" allowBlank="1" showInputMessage="1" showErrorMessage="1" error="NULL" prompt="Number Only" sqref="A4 A6" xr:uid="{9C7936E3-F1F3-4C1F-9EE7-28E650C1C51B}">
      <formula1>ISNUMBER(A4)</formula1>
    </dataValidation>
    <dataValidation type="custom" imeMode="off" allowBlank="1" showInputMessage="1" showErrorMessage="1" error="NULL" prompt="Number Only" sqref="B4 C4 D4 E4 F4 G4" xr:uid="{44CA16C6-E749-4319-9825-DDBE97C3C602}">
      <formula1>ISNUMBER(B4)</formula1>
    </dataValidation>
  </dataValidations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1EBB-4DAB-4AD7-9507-2EB4FB86CFFE}">
  <dimension ref="A1:E22"/>
  <sheetViews>
    <sheetView topLeftCell="A2" zoomScale="130" zoomScaleNormal="130" workbookViewId="0">
      <selection activeCell="B17" sqref="B17"/>
    </sheetView>
  </sheetViews>
  <sheetFormatPr defaultColWidth="8.84375" defaultRowHeight="14.6"/>
  <cols>
    <col min="1" max="5" width="15.84375" style="7" customWidth="1"/>
    <col min="6" max="16384" width="8.84375" style="7"/>
  </cols>
  <sheetData>
    <row r="1" spans="1:5" ht="35.15" customHeight="1">
      <c r="A1" s="69" t="s">
        <v>57</v>
      </c>
      <c r="B1" s="69"/>
      <c r="C1" s="69"/>
      <c r="D1" s="69"/>
      <c r="E1" s="69"/>
    </row>
    <row r="2" spans="1:5" ht="65.150000000000006" customHeight="1">
      <c r="A2" s="47" t="s">
        <v>48</v>
      </c>
      <c r="B2" s="47" t="s">
        <v>49</v>
      </c>
      <c r="C2" s="47" t="s">
        <v>50</v>
      </c>
    </row>
    <row r="3" spans="1:5" ht="20.149999999999999" customHeight="1">
      <c r="A3" s="7">
        <v>0.01</v>
      </c>
      <c r="B3" s="7">
        <v>60.4</v>
      </c>
      <c r="C3" s="7">
        <v>73.2</v>
      </c>
    </row>
    <row r="4" spans="1:5" ht="20.149999999999999" customHeight="1"/>
    <row r="5" spans="1:5" ht="20.149999999999999" customHeight="1">
      <c r="A5" s="7" t="s">
        <v>51</v>
      </c>
      <c r="B5" s="7" t="s">
        <v>52</v>
      </c>
    </row>
    <row r="6" spans="1:5" ht="20.149999999999999" customHeight="1">
      <c r="A6" s="7">
        <f xml:space="preserve"> 1/(2*3.1415926*B3*1000*A3*0.000000001)</f>
        <v>263501.56590527482</v>
      </c>
      <c r="B6" s="7">
        <f>1/(2*3.1415926*A3*0.000000001)*(1/B3/1000+1/C3/1000)</f>
        <v>480926.3552588076</v>
      </c>
    </row>
    <row r="7" spans="1:5" ht="20.149999999999999" customHeight="1"/>
    <row r="8" spans="1:5" ht="20.149999999999999" customHeight="1">
      <c r="A8" s="7" t="s">
        <v>54</v>
      </c>
    </row>
    <row r="9" spans="1:5" ht="20.149999999999999" customHeight="1">
      <c r="A9" s="7">
        <v>10400</v>
      </c>
    </row>
    <row r="10" spans="1:5" ht="20.149999999999999" customHeight="1">
      <c r="A10" s="7" t="s">
        <v>53</v>
      </c>
    </row>
    <row r="11" spans="1:5" ht="20.149999999999999" customHeight="1">
      <c r="A11" s="7">
        <f>1/(2*3.1415926*A9)*SQRT(1/B3/1000*(1/B3/1000+1/C3/1000))</f>
        <v>3.4229263106425703E-10</v>
      </c>
    </row>
    <row r="12" spans="1:5" ht="20.149999999999999" customHeight="1"/>
    <row r="13" spans="1:5" ht="20.149999999999999" customHeight="1"/>
    <row r="14" spans="1:5" ht="20.149999999999999" customHeight="1">
      <c r="A14" s="7" t="s">
        <v>56</v>
      </c>
    </row>
    <row r="15" spans="1:5" ht="65.150000000000006" customHeight="1">
      <c r="A15" s="48" t="s">
        <v>58</v>
      </c>
      <c r="B15" s="49" t="s">
        <v>60</v>
      </c>
      <c r="C15" s="50" t="s">
        <v>59</v>
      </c>
    </row>
    <row r="16" spans="1:5" ht="20.149999999999999" customHeight="1"/>
    <row r="17" spans="1:1" ht="65.150000000000006" customHeight="1">
      <c r="A17" s="48" t="s">
        <v>61</v>
      </c>
    </row>
    <row r="18" spans="1:1" ht="20.149999999999999" customHeight="1"/>
    <row r="19" spans="1:1" ht="20.149999999999999" customHeight="1">
      <c r="A19" s="7" t="s">
        <v>62</v>
      </c>
    </row>
    <row r="20" spans="1:1" ht="20.149999999999999" customHeight="1"/>
    <row r="21" spans="1:1" ht="20.149999999999999" customHeight="1"/>
    <row r="22" spans="1:1" ht="20.149999999999999" customHeight="1"/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9DE2-1339-4A98-A62E-AE78E8D2B49B}">
  <dimension ref="A1"/>
  <sheetViews>
    <sheetView workbookViewId="0"/>
  </sheetViews>
  <sheetFormatPr defaultRowHeight="14.6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0F9A-E6C3-4E2B-A67A-365D566D55D9}">
  <dimension ref="A1"/>
  <sheetViews>
    <sheetView workbookViewId="0">
      <selection activeCell="E6" sqref="E6"/>
    </sheetView>
  </sheetViews>
  <sheetFormatPr defaultRowHeight="14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</vt:lpstr>
      <vt:lpstr>Forward Feedback</vt:lpstr>
      <vt:lpstr>Compensation</vt:lpstr>
      <vt:lpstr>RC Snubber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洪展鹏</dc:creator>
  <cp:lastModifiedBy>展鹏 洪</cp:lastModifiedBy>
  <cp:lastPrinted>2024-04-07T13:19:15Z</cp:lastPrinted>
  <dcterms:created xsi:type="dcterms:W3CDTF">2015-06-05T18:19:34Z</dcterms:created>
  <dcterms:modified xsi:type="dcterms:W3CDTF">2025-09-18T14:38:55Z</dcterms:modified>
</cp:coreProperties>
</file>