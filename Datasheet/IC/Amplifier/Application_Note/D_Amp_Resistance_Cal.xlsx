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ary\Datasheet\IC\Amplifier\Application_Note\"/>
    </mc:Choice>
  </mc:AlternateContent>
  <xr:revisionPtr revIDLastSave="0" documentId="8_{D1B14AF7-FB6E-49E8-83B8-7F5BED1D2060}" xr6:coauthVersionLast="47" xr6:coauthVersionMax="47" xr10:uidLastSave="{00000000-0000-0000-0000-000000000000}"/>
  <bookViews>
    <workbookView xWindow="-23136" yWindow="-96" windowWidth="23232" windowHeight="13152" xr2:uid="{27FCFCBA-0F0E-4ACC-AE10-ADE8D2E07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I2" i="1"/>
  <c r="C2" i="1" s="1"/>
  <c r="H2" i="1"/>
  <c r="F2" i="1"/>
  <c r="J2" i="1" l="1"/>
  <c r="D2" i="1" s="1"/>
  <c r="E2" i="1" l="1"/>
</calcChain>
</file>

<file path=xl/sharedStrings.xml><?xml version="1.0" encoding="utf-8"?>
<sst xmlns="http://schemas.openxmlformats.org/spreadsheetml/2006/main" count="10" uniqueCount="10">
  <si>
    <t>RB</t>
    <phoneticPr fontId="1" type="noConversion"/>
  </si>
  <si>
    <t>G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</si>
  <si>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</si>
  <si>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</si>
  <si>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</si>
  <si>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RA</t>
    <phoneticPr fontId="1" type="noConversion"/>
  </si>
  <si>
    <t>RY</t>
    <phoneticPr fontId="1" type="noConversion"/>
  </si>
  <si>
    <t>RX</t>
    <phoneticPr fontId="1" type="noConversion"/>
  </si>
  <si>
    <t>x</t>
    <phoneticPr fontId="1" type="noConversion"/>
  </si>
  <si>
    <t>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</si>
</sst>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C712-3668-4D07-BD20-2851E19E518E}">
  <dimension ref="A1:J2"/>
  <sheetViews>
    <sheetView tabSelected="1" workbookViewId="0">
      <selection activeCell="I4" sqref="I4"/>
    </sheetView>
  </sheetViews>
  <sheetFormatPr defaultRowHeight="14.1" x14ac:dyDescent="0.5"/>
  <cols>
    <col min="1" max="16384" width="8.796875" style="1"/>
  </cols>
  <sheetData>
    <row r="1" spans="1:10" x14ac:dyDescent="0.5">
      <c r="A1" s="2" t="s">
        <v>0</v>
      </c>
      <c r="B1" s="2" t="s">
        <v>1</v>
      </c>
      <c r="C1" s="3" t="s">
        <v>5</v>
      </c>
      <c r="D1" s="3" t="s">
        <v>6</v>
      </c>
      <c r="E1" s="3" t="s">
        <v>7</v>
      </c>
      <c r="F1" s="1" t="s">
        <v>2</v>
      </c>
      <c r="G1" s="1" t="s">
        <v>3</v>
      </c>
      <c r="H1" s="1" t="s">
        <v>4</v>
      </c>
      <c r="I1" s="1" t="s">
        <v>8</v>
      </c>
      <c r="J1" s="1" t="s">
        <v>9</v>
      </c>
    </row>
    <row r="2" spans="1:10" x14ac:dyDescent="0.5">
      <c r="A2" s="1">
        <v>1000</v>
      </c>
      <c r="B2" s="1">
        <v>5</v>
      </c>
      <c r="C2" s="1">
        <f>I2</f>
        <v>104.86076073541923</v>
      </c>
      <c r="D2" s="1">
        <f xml:space="preserve"> 50 * J2 / (1 - J2)</f>
        <v>55.109101957291813</v>
      </c>
      <c r="E2" s="1">
        <f>C2 - 50 * J2</f>
        <v>78.645570551564418</v>
      </c>
      <c r="F2" s="1">
        <f>B2/A2*(1- 50*B2/A2)</f>
        <v>3.7499999999999999E-3</v>
      </c>
      <c r="G2" s="1">
        <f>B2*(1 - 25 * B2 / A2)</f>
        <v>4.375</v>
      </c>
      <c r="H2" s="1">
        <f xml:space="preserve"> -0.5 * A2</f>
        <v>-500</v>
      </c>
      <c r="I2" s="1">
        <f>(-G2 + SQRT(G2 * G2 - 4 *F2 *H2)) / 2 / F2</f>
        <v>104.86076073541923</v>
      </c>
      <c r="J2" s="1">
        <f>C2 / A2 * B2</f>
        <v>0.52430380367709617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展鹏 洪</dc:creator>
  <cp:lastModifiedBy>展鹏 洪</cp:lastModifiedBy>
  <dcterms:created xsi:type="dcterms:W3CDTF">2023-10-26T01:56:41Z</dcterms:created>
  <dcterms:modified xsi:type="dcterms:W3CDTF">2023-10-26T05:24:32Z</dcterms:modified>
</cp:coreProperties>
</file>